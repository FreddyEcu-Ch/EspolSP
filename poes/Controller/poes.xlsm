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EspolSP\poes\Controller\"/>
    </mc:Choice>
  </mc:AlternateContent>
  <xr:revisionPtr revIDLastSave="0" documentId="13_ncr:1_{838D85B0-3AF8-4F41-884F-4991173FD075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values">Summary!$B$3:$B$7</definedName>
    <definedName name="df_poes">Summary!$A$2:$H$7</definedName>
    <definedName name="poes_prob">Summary!#REF!</definedName>
    <definedName name="poes_result">Summary!$B$10</definedName>
    <definedName name="realizations">Summary!$E$10</definedName>
    <definedName name="results_array">Results!$A$1</definedName>
    <definedName name="seed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<sst xmlns="http://schemas.openxmlformats.org/spreadsheetml/2006/main" count="53" uniqueCount="43">
  <si>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</si>
  <si>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</si>
  <si>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</si>
  <si>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</si>
  <si>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</si>
  <si>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</si>
  <si>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</si>
  <si>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</si>
  <si>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</si>
  <si>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</si>
  <si>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</si>
  <si>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</si>
  <si>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</si>
  <si>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</si>
  <si>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</si>
  <si>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</si>
  <si>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</si>
  <si>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Distributions</t>
  </si>
  <si>
    <t>Loc</t>
  </si>
  <si>
    <t>Scale</t>
  </si>
  <si>
    <t>Sc</t>
  </si>
  <si>
    <t>Lim min</t>
  </si>
  <si>
    <t>Lim max</t>
  </si>
  <si>
    <t>Porosity</t>
  </si>
  <si>
    <t>H</t>
  </si>
  <si>
    <t>Area</t>
  </si>
  <si>
    <t>Swi</t>
  </si>
  <si>
    <t>Boi</t>
  </si>
  <si>
    <t>STB</t>
  </si>
  <si>
    <t>STOIIP Deterministic</t>
  </si>
  <si>
    <t>Realizations</t>
  </si>
  <si>
    <t>Seed</t>
  </si>
  <si>
    <t>STOIIP Mean</t>
  </si>
  <si>
    <t>STOIIP SD</t>
  </si>
  <si>
    <t>STOIIP P90</t>
  </si>
  <si>
    <t>STOIIP P50</t>
  </si>
  <si>
    <t>STOIIP P10</t>
  </si>
  <si>
    <t>STOIIP CALCULATION</t>
  </si>
  <si>
    <t>Normal</t>
  </si>
  <si>
    <t>Log-Normal</t>
  </si>
  <si>
    <t>Triangular</t>
  </si>
  <si>
    <t>Exponential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</si>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</sst>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12</xdr:row>
          <xdr:rowOff>190500</xdr:rowOff>
        </xdr:from>
        <xdr:to>
          <xdr:col>2</xdr:col>
          <xdr:colOff>175260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"/>
  <sheetViews>
    <sheetView showGridLines="0" tabSelected="1" zoomScale="80" zoomScaleNormal="80" workbookViewId="0">
      <selection activeCell="I22" sqref="I22"/>
    </sheetView>
  </sheetViews>
  <sheetFormatPr defaultColWidth="11" defaultRowHeight="15.6" x14ac:dyDescent="0.3"/>
  <cols>
    <col min="1" max="1" width="16.69921875" customWidth="1"/>
    <col min="2" max="2" width="15.796875" customWidth="1"/>
    <col min="3" max="3" width="11.69921875" bestFit="1" customWidth="1"/>
    <col min="7" max="7" width="12.3984375" customWidth="1"/>
    <col min="8" max="8" width="13.09765625" customWidth="1"/>
    <col min="13" max="13" width="0" hidden="1" customWidth="1"/>
  </cols>
  <sheetData>
    <row r="1" spans="1:13" ht="16.2" thickBot="1" x14ac:dyDescent="0.35">
      <c r="A1" s="12" t="s">
        <v>37</v>
      </c>
      <c r="B1" s="12"/>
      <c r="C1" s="12"/>
      <c r="D1" s="12"/>
      <c r="E1" s="12"/>
      <c r="F1" s="12"/>
      <c r="G1" s="12"/>
      <c r="H1" s="12"/>
    </row>
    <row r="2" spans="1:13" s="3" customFormat="1" ht="16.2" thickBot="1" x14ac:dyDescent="0.35">
      <c r="A2" s="7" t="s">
        <v>15</v>
      </c>
      <c r="B2" s="7" t="s">
        <v>16</v>
      </c>
      <c r="C2" s="7" t="s">
        <v>17</v>
      </c>
      <c r="D2" s="7" t="s">
        <v>18</v>
      </c>
      <c r="E2" s="7" t="s">
        <v>19</v>
      </c>
      <c r="F2" s="7" t="s">
        <v>20</v>
      </c>
      <c r="G2" s="7" t="s">
        <v>21</v>
      </c>
      <c r="H2" s="7" t="s">
        <v>22</v>
      </c>
    </row>
    <row r="3" spans="1:13" ht="16.2" thickBot="1" x14ac:dyDescent="0.35">
      <c r="A3" s="4" t="s">
        <v>25</v>
      </c>
      <c r="B3" s="4">
        <v>200</v>
      </c>
      <c r="C3" s="4" t="s">
        <v>40</v>
      </c>
      <c r="D3" s="4">
        <v>400</v>
      </c>
      <c r="E3" s="4">
        <v>600</v>
      </c>
      <c r="F3" s="4">
        <v>0.3</v>
      </c>
      <c r="G3" s="4">
        <v>50</v>
      </c>
      <c r="H3" s="4">
        <v>180</v>
      </c>
      <c r="M3" t="s">
        <v>38</v>
      </c>
    </row>
    <row r="4" spans="1:13" ht="16.2" thickBot="1" x14ac:dyDescent="0.35">
      <c r="A4" s="4" t="s">
        <v>24</v>
      </c>
      <c r="B4" s="4">
        <v>50</v>
      </c>
      <c r="C4" s="4" t="s">
        <v>38</v>
      </c>
      <c r="D4" s="4">
        <v>30</v>
      </c>
      <c r="E4" s="4">
        <v>90</v>
      </c>
      <c r="F4" s="4">
        <v>0</v>
      </c>
      <c r="G4" s="4">
        <v>10</v>
      </c>
      <c r="H4" s="4">
        <v>80</v>
      </c>
      <c r="M4" t="s">
        <v>39</v>
      </c>
    </row>
    <row r="5" spans="1:13" ht="16.2" thickBot="1" x14ac:dyDescent="0.35">
      <c r="A5" s="4" t="s">
        <v>23</v>
      </c>
      <c r="B5" s="4">
        <v>0.35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1</v>
      </c>
      <c r="M5" t="s">
        <v>40</v>
      </c>
    </row>
    <row r="6" spans="1:13" ht="16.2" thickBot="1" x14ac:dyDescent="0.35">
      <c r="A6" s="4" t="s">
        <v>26</v>
      </c>
      <c r="B6" s="4">
        <v>0.35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M6" t="s">
        <v>41</v>
      </c>
    </row>
    <row r="7" spans="1:13" ht="16.2" thickBot="1" x14ac:dyDescent="0.35">
      <c r="A7" s="4" t="s">
        <v>27</v>
      </c>
      <c r="B7" s="4">
        <v>1.01</v>
      </c>
      <c r="C7" s="4" t="s">
        <v>41</v>
      </c>
      <c r="D7" s="4">
        <v>1</v>
      </c>
      <c r="E7" s="4">
        <v>0.2</v>
      </c>
      <c r="F7" s="4"/>
      <c r="G7" s="4">
        <v>1</v>
      </c>
      <c r="H7" s="4">
        <v>2</v>
      </c>
      <c r="M7" t="s">
        <v>42</v>
      </c>
    </row>
    <row r="9" spans="1:13" ht="16.2" thickBot="1" x14ac:dyDescent="0.35">
      <c r="J9" s="3"/>
    </row>
    <row r="10" spans="1:13" ht="31.8" thickBot="1" x14ac:dyDescent="0.35">
      <c r="A10" s="8" t="s">
        <v>29</v>
      </c>
      <c r="B10" s="5">
        <v>17474702.970297031</v>
      </c>
      <c r="C10" s="10" t="s">
        <v>28</v>
      </c>
      <c r="D10" s="9" t="s">
        <v>30</v>
      </c>
      <c r="E10" s="5">
        <v>1000</v>
      </c>
      <c r="G10" s="9" t="s">
        <v>32</v>
      </c>
      <c r="H10" s="6"/>
      <c r="I10" s="10" t="s">
        <v>28</v>
      </c>
    </row>
    <row r="11" spans="1:13" ht="16.2" thickBot="1" x14ac:dyDescent="0.35">
      <c r="D11" s="7" t="s">
        <v>31</v>
      </c>
      <c r="E11" s="4">
        <v>20</v>
      </c>
      <c r="G11" s="7" t="s">
        <v>33</v>
      </c>
      <c r="H11" s="6"/>
      <c r="I11" s="11" t="s">
        <v>28</v>
      </c>
    </row>
    <row r="12" spans="1:13" ht="16.2" thickBot="1" x14ac:dyDescent="0.35">
      <c r="G12" s="7" t="s">
        <v>34</v>
      </c>
      <c r="H12" s="6"/>
      <c r="I12" s="11" t="s">
        <v>28</v>
      </c>
    </row>
    <row r="13" spans="1:13" ht="16.2" thickBot="1" x14ac:dyDescent="0.35">
      <c r="G13" s="7" t="s">
        <v>35</v>
      </c>
      <c r="H13" s="6"/>
      <c r="I13" s="11" t="s">
        <v>28</v>
      </c>
    </row>
    <row r="14" spans="1:13" ht="16.2" thickBot="1" x14ac:dyDescent="0.35">
      <c r="G14" s="7" t="s">
        <v>36</v>
      </c>
      <c r="H14" s="6"/>
      <c r="I14" s="11" t="s">
        <v>28</v>
      </c>
    </row>
    <row r="15" spans="1:13" x14ac:dyDescent="0.3">
      <c r="J15" s="3"/>
    </row>
    <row r="16" spans="1:13" x14ac:dyDescent="0.3">
      <c r="J16" s="3"/>
    </row>
  </sheetData>
  <mergeCells count="1">
    <mergeCell ref="A1:H1"/>
  </mergeCells>
  <dataValidations count="1">
    <dataValidation type="list" allowBlank="1" showInputMessage="1" showErrorMessage="1" sqref="C3:C7" xr:uid="{B07C6295-BE5D-4C70-BFAC-950A4E28AC91}">
      <formula1>$M$3:$M$7</formula1>
    </dataValidation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114300</xdr:colOff>
                    <xdr:row>12</xdr:row>
                    <xdr:rowOff>190500</xdr:rowOff>
                  </from>
                  <to>
                    <xdr:col>2</xdr:col>
                    <xdr:colOff>175260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A85DA-8700-4741-8CA9-C71349035C58}">
  <sheetPr codeName="Sheet3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Summary</vt:lpstr>
      <vt:lpstr>Results</vt:lpstr>
      <vt:lpstr>_xlwings.conf</vt:lpstr>
      <vt:lpstr>det_values</vt:lpstr>
      <vt:lpstr>df_poes</vt:lpstr>
      <vt:lpstr>poes_result</vt:lpstr>
      <vt:lpstr>realizations</vt:lpstr>
      <vt:lpstr>results_array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2023-06-20T15:48:36Z</dcterms:modified>
</cp:coreProperties>
</file>